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I\Bachelorarbeit\Versionen und Anhaenge\"/>
    </mc:Choice>
  </mc:AlternateContent>
  <xr:revisionPtr revIDLastSave="0" documentId="13_ncr:1_{41272FDC-ACE9-4DC4-A161-0E8D51076153}" xr6:coauthVersionLast="47" xr6:coauthVersionMax="47" xr10:uidLastSave="{00000000-0000-0000-0000-000000000000}"/>
  <bookViews>
    <workbookView xWindow="28680" yWindow="-5490" windowWidth="38640" windowHeight="21120" xr2:uid="{35DFDB32-C498-4DE4-B494-585A683DEE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 a="1"/>
  <c r="N19" i="1" s="1"/>
  <c r="M16" i="1" a="1"/>
  <c r="M16" i="1" s="1"/>
  <c r="N16" i="1" a="1"/>
  <c r="N16" i="1" s="1"/>
  <c r="M17" i="1" a="1"/>
  <c r="M17" i="1" s="1"/>
  <c r="N17" i="1" a="1"/>
  <c r="N17" i="1" s="1"/>
  <c r="M18" i="1" a="1"/>
  <c r="M18" i="1" s="1"/>
  <c r="N18" i="1" a="1"/>
  <c r="N18" i="1" s="1"/>
  <c r="M19" i="1" a="1"/>
  <c r="M19" i="1" s="1"/>
  <c r="L18" i="1" a="1"/>
  <c r="L18" i="1" s="1"/>
  <c r="L19" i="1" a="1"/>
  <c r="L19" i="1" s="1"/>
  <c r="L17" i="1" a="1"/>
  <c r="L17" i="1" s="1"/>
  <c r="L16" i="1" a="1"/>
  <c r="L16" i="1" s="1"/>
  <c r="G2" i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F3" i="1"/>
  <c r="F4" i="1"/>
  <c r="F5" i="1"/>
  <c r="F6" i="1"/>
  <c r="F7" i="1"/>
  <c r="F8" i="1"/>
  <c r="I8" i="1" s="1"/>
  <c r="F9" i="1"/>
  <c r="I9" i="1" s="1"/>
  <c r="F10" i="1"/>
  <c r="F11" i="1"/>
  <c r="F12" i="1"/>
  <c r="F13" i="1"/>
  <c r="F14" i="1"/>
  <c r="F15" i="1"/>
  <c r="F16" i="1"/>
  <c r="F17" i="1"/>
  <c r="I17" i="1" s="1"/>
  <c r="F18" i="1"/>
  <c r="F19" i="1"/>
  <c r="F20" i="1"/>
  <c r="F21" i="1"/>
  <c r="F22" i="1"/>
  <c r="F23" i="1"/>
  <c r="F24" i="1"/>
  <c r="F25" i="1"/>
  <c r="I25" i="1" s="1"/>
  <c r="F26" i="1"/>
  <c r="F27" i="1"/>
  <c r="F28" i="1"/>
  <c r="F29" i="1"/>
  <c r="F30" i="1"/>
  <c r="F31" i="1"/>
  <c r="F32" i="1"/>
  <c r="F33" i="1"/>
  <c r="I33" i="1" s="1"/>
  <c r="F34" i="1"/>
  <c r="F35" i="1"/>
  <c r="F36" i="1"/>
  <c r="F37" i="1"/>
  <c r="F38" i="1"/>
  <c r="F39" i="1"/>
  <c r="F40" i="1"/>
  <c r="F41" i="1"/>
  <c r="I41" i="1" s="1"/>
  <c r="F42" i="1"/>
  <c r="F43" i="1"/>
  <c r="F44" i="1"/>
  <c r="F45" i="1"/>
  <c r="F46" i="1"/>
  <c r="F47" i="1"/>
  <c r="F48" i="1"/>
  <c r="F49" i="1"/>
  <c r="I49" i="1" s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I37" i="1" l="1"/>
  <c r="I29" i="1"/>
  <c r="I21" i="1"/>
  <c r="I13" i="1"/>
  <c r="I5" i="1"/>
  <c r="I2" i="1"/>
  <c r="I54" i="1"/>
  <c r="I38" i="1"/>
  <c r="I22" i="1"/>
  <c r="I6" i="1"/>
  <c r="I46" i="1"/>
  <c r="I30" i="1"/>
  <c r="I14" i="1"/>
  <c r="I58" i="1"/>
  <c r="I50" i="1"/>
  <c r="I42" i="1"/>
  <c r="I34" i="1"/>
  <c r="I26" i="1"/>
  <c r="I18" i="1"/>
  <c r="I10" i="1"/>
  <c r="I56" i="1"/>
  <c r="I48" i="1"/>
  <c r="I40" i="1"/>
  <c r="I32" i="1"/>
  <c r="I24" i="1"/>
  <c r="I16" i="1"/>
  <c r="I61" i="1"/>
  <c r="I53" i="1"/>
  <c r="I52" i="1"/>
  <c r="I44" i="1"/>
  <c r="I36" i="1"/>
  <c r="I28" i="1"/>
  <c r="I20" i="1"/>
  <c r="I12" i="1"/>
  <c r="I4" i="1"/>
  <c r="I45" i="1"/>
  <c r="I60" i="1"/>
  <c r="I57" i="1"/>
  <c r="I51" i="1"/>
  <c r="I19" i="1"/>
  <c r="I11" i="1"/>
  <c r="I3" i="1"/>
  <c r="I43" i="1"/>
  <c r="I35" i="1"/>
  <c r="I59" i="1"/>
  <c r="I27" i="1"/>
  <c r="I55" i="1"/>
  <c r="I47" i="1"/>
  <c r="I39" i="1"/>
  <c r="I31" i="1"/>
  <c r="I23" i="1"/>
  <c r="I15" i="1"/>
  <c r="I7" i="1"/>
  <c r="L8" i="1" l="1"/>
  <c r="L9" i="1"/>
  <c r="L11" i="1"/>
  <c r="L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<sst xmlns="http://schemas.openxmlformats.org/spreadsheetml/2006/main" count="105" uniqueCount="33">
  <si>
    <t>Zeit</t>
  </si>
  <si>
    <t>CER</t>
  </si>
  <si>
    <t>WER</t>
  </si>
  <si>
    <t>Zeit normalisiert</t>
  </si>
  <si>
    <t>CER normalisiert</t>
  </si>
  <si>
    <t>WER normalisiert</t>
  </si>
  <si>
    <t>Gewichtung</t>
  </si>
  <si>
    <t>Score</t>
  </si>
  <si>
    <t>Tool</t>
  </si>
  <si>
    <t>Ergebnis:</t>
  </si>
  <si>
    <t>Score Durchschnitt</t>
  </si>
  <si>
    <t>-&gt; Beste Performance</t>
  </si>
  <si>
    <t>Easy OCR</t>
  </si>
  <si>
    <t>Paddle OCR</t>
  </si>
  <si>
    <t>Tesseract OCR</t>
  </si>
  <si>
    <t>Surya OCR</t>
  </si>
  <si>
    <t>Durchschnittswerte pro Tool:</t>
  </si>
  <si>
    <t>Dokument</t>
  </si>
  <si>
    <t>bauliche_veraenderung_bild.jpg</t>
  </si>
  <si>
    <t>bauliche_veraenderung_scan.jpg</t>
  </si>
  <si>
    <t>bauliche_veraenderung_unscharf.jpg</t>
  </si>
  <si>
    <t>mangel_bild.jpg</t>
  </si>
  <si>
    <t>mangel_scan.jpg</t>
  </si>
  <si>
    <t>mangel_unscharf.jpg</t>
  </si>
  <si>
    <t>rechnung_bild.jpg</t>
  </si>
  <si>
    <t>rechnung_scan.jpg</t>
  </si>
  <si>
    <t>rechnung_unscharf.jpg</t>
  </si>
  <si>
    <t>untermietantrag_bild.jpg</t>
  </si>
  <si>
    <t>untermietantrag_scan.jpg</t>
  </si>
  <si>
    <t>untermietantrag_unscharf.jpg</t>
  </si>
  <si>
    <t>wohnungsuebergabe_protokoll_bild.jpg</t>
  </si>
  <si>
    <t>wohnungsuebergabe_protokoll_scan.jpg</t>
  </si>
  <si>
    <t>wohnungsuebergabe_protokoll_unscharf.jpg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</si>
</sst>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65" fontId="0" fillId="0" borderId="2" xfId="0" applyNumberFormat="1" applyBorder="1"/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Border="1"/>
    <xf numFmtId="0" fontId="0" fillId="0" borderId="5" xfId="0" applyBorder="1"/>
    <xf numFmtId="0" fontId="0" fillId="0" borderId="4" xfId="0" applyBorder="1"/>
    <xf numFmtId="165" fontId="0" fillId="0" borderId="5" xfId="0" applyNumberFormat="1" applyBorder="1"/>
    <xf numFmtId="165" fontId="0" fillId="0" borderId="4" xfId="0" applyNumberFormat="1" applyBorder="1"/>
    <xf numFmtId="165" fontId="0" fillId="0" borderId="0" xfId="0" applyNumberFormat="1" applyBorder="1"/>
    <xf numFmtId="0" fontId="0" fillId="0" borderId="3" xfId="0" applyBorder="1" applyAlignment="1">
      <alignment horizontal="left" vertical="center"/>
    </xf>
    <xf numFmtId="165" fontId="0" fillId="0" borderId="1" xfId="0" applyNumberFormat="1" applyBorder="1"/>
    <xf numFmtId="165" fontId="0" fillId="0" borderId="3" xfId="0" applyNumberFormat="1" applyBorder="1"/>
    <xf numFmtId="166" fontId="0" fillId="0" borderId="3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AC2-5DA9-4775-B002-122BD4472558}">
  <dimension ref="A1:N61"/>
  <sheetViews>
    <sheetView tabSelected="1" zoomScaleNormal="100" workbookViewId="0">
      <selection activeCell="J16" sqref="J16"/>
    </sheetView>
  </sheetViews>
  <sheetFormatPr baseColWidth="10" defaultRowHeight="15" x14ac:dyDescent="0.25"/>
  <cols>
    <col min="1" max="1" width="40.85546875" customWidth="1"/>
    <col min="2" max="2" width="13.5703125" customWidth="1"/>
    <col min="5" max="8" width="11.42578125" customWidth="1"/>
    <col min="10" max="10" width="12.85546875" customWidth="1"/>
    <col min="11" max="11" width="13.42578125" customWidth="1"/>
    <col min="13" max="13" width="14.42578125" bestFit="1" customWidth="1"/>
  </cols>
  <sheetData>
    <row r="1" spans="1:14" x14ac:dyDescent="0.25">
      <c r="A1" s="4" t="s">
        <v>17</v>
      </c>
      <c r="B1" s="4" t="s">
        <v>8</v>
      </c>
      <c r="C1" s="3" t="s">
        <v>0</v>
      </c>
      <c r="D1" s="3" t="s">
        <v>1</v>
      </c>
      <c r="E1" s="4" t="s">
        <v>2</v>
      </c>
      <c r="F1" s="3" t="s">
        <v>3</v>
      </c>
      <c r="G1" s="3" t="s">
        <v>4</v>
      </c>
      <c r="H1" s="4" t="s">
        <v>5</v>
      </c>
      <c r="I1" s="3" t="s">
        <v>7</v>
      </c>
      <c r="K1" s="4"/>
      <c r="L1" s="3" t="s">
        <v>0</v>
      </c>
      <c r="M1" s="3" t="s">
        <v>1</v>
      </c>
      <c r="N1" s="3" t="s">
        <v>2</v>
      </c>
    </row>
    <row r="2" spans="1:14" x14ac:dyDescent="0.25">
      <c r="A2" s="10" t="s">
        <v>18</v>
      </c>
      <c r="B2" s="13" t="s">
        <v>12</v>
      </c>
      <c r="C2" s="12">
        <v>2.79</v>
      </c>
      <c r="D2" s="12">
        <v>0.114</v>
      </c>
      <c r="E2" s="13">
        <v>0.186</v>
      </c>
      <c r="F2" s="14">
        <f>(C2-MIN(C$2:C$61))/((MAX(C$2:C$61)-MIN(C$2:C$61)))</f>
        <v>4.885548343013324E-2</v>
      </c>
      <c r="G2" s="14">
        <f t="shared" ref="G2:G33" si="0">(D2-MIN(D$2:D$61))/((MAX(D$2:D$61)-MIN(D$2:D$61)))</f>
        <v>0.13630406290956751</v>
      </c>
      <c r="H2" s="15">
        <f t="shared" ref="H2:H33" si="1">(E2-MIN(E$2:E$61))/((MAX(E$2:E$61)-MIN(E$2:E$61)))</f>
        <v>0.10438542310067943</v>
      </c>
      <c r="I2" s="14">
        <f t="shared" ref="I2:I33" si="2">$L$2*F2+$M$2*G2+$N$2*H2</f>
        <v>0.10840802107629123</v>
      </c>
      <c r="K2" s="5" t="s">
        <v>6</v>
      </c>
      <c r="L2">
        <v>0.1</v>
      </c>
      <c r="M2">
        <v>0.3</v>
      </c>
      <c r="N2">
        <v>0.6</v>
      </c>
    </row>
    <row r="3" spans="1:14" x14ac:dyDescent="0.25">
      <c r="A3" s="9"/>
      <c r="B3" s="5" t="s">
        <v>13</v>
      </c>
      <c r="C3" s="11">
        <v>1.56</v>
      </c>
      <c r="D3" s="11">
        <v>9.7000000000000003E-2</v>
      </c>
      <c r="E3" s="5">
        <v>0.214</v>
      </c>
      <c r="F3" s="16">
        <f>(C3-MIN(C$2:C$61))/((MAX(C$2:C$61)-MIN(C$2:C$61)))</f>
        <v>6.8329347454731794E-3</v>
      </c>
      <c r="G3" s="16">
        <f t="shared" si="0"/>
        <v>0.11402359108781128</v>
      </c>
      <c r="H3" s="8">
        <f t="shared" si="1"/>
        <v>0.12168004941321804</v>
      </c>
      <c r="I3" s="16">
        <f t="shared" si="2"/>
        <v>0.10789840044882153</v>
      </c>
    </row>
    <row r="4" spans="1:14" x14ac:dyDescent="0.25">
      <c r="A4" s="9"/>
      <c r="B4" s="5" t="s">
        <v>14</v>
      </c>
      <c r="C4" s="11">
        <v>1.83</v>
      </c>
      <c r="D4" s="11">
        <v>0.35499999999999998</v>
      </c>
      <c r="E4" s="5">
        <v>0.32900000000000001</v>
      </c>
      <c r="F4" s="16">
        <f>(C4-MIN(C$2:C$61))/((MAX(C$2:C$61)-MIN(C$2:C$61)))</f>
        <v>1.6057396651861976E-2</v>
      </c>
      <c r="G4" s="16">
        <f t="shared" si="0"/>
        <v>0.45216251638269983</v>
      </c>
      <c r="H4" s="8">
        <f t="shared" si="1"/>
        <v>0.19271155033971588</v>
      </c>
      <c r="I4" s="16">
        <f t="shared" si="2"/>
        <v>0.25288142478382569</v>
      </c>
    </row>
    <row r="5" spans="1:14" x14ac:dyDescent="0.25">
      <c r="A5" s="17"/>
      <c r="B5" s="4" t="s">
        <v>15</v>
      </c>
      <c r="C5" s="3">
        <v>5.89</v>
      </c>
      <c r="D5" s="3">
        <v>0.153</v>
      </c>
      <c r="E5" s="4">
        <v>0.14299999999999999</v>
      </c>
      <c r="F5" s="18">
        <f>(C5-MIN(C$2:C$61))/((MAX(C$2:C$61)-MIN(C$2:C$61)))</f>
        <v>0.15476597198496753</v>
      </c>
      <c r="G5" s="18">
        <f t="shared" si="0"/>
        <v>0.18741808650065528</v>
      </c>
      <c r="H5" s="19">
        <f t="shared" si="1"/>
        <v>7.7825818406423719E-2</v>
      </c>
      <c r="I5" s="18">
        <f t="shared" si="2"/>
        <v>0.11839751419254757</v>
      </c>
    </row>
    <row r="6" spans="1:14" x14ac:dyDescent="0.25">
      <c r="A6" s="10" t="s">
        <v>19</v>
      </c>
      <c r="B6" s="13" t="s">
        <v>12</v>
      </c>
      <c r="C6" s="12">
        <v>2.5299999999999998</v>
      </c>
      <c r="D6" s="12">
        <v>0.112</v>
      </c>
      <c r="E6" s="13">
        <v>0.17100000000000001</v>
      </c>
      <c r="F6" s="14">
        <f>(C6-MIN(C$2:C$61))/((MAX(C$2:C$61)-MIN(C$2:C$61)))</f>
        <v>3.9972668261018099E-2</v>
      </c>
      <c r="G6" s="14">
        <f t="shared" si="0"/>
        <v>0.13368283093053737</v>
      </c>
      <c r="H6" s="15">
        <f t="shared" si="1"/>
        <v>9.5120444718962333E-2</v>
      </c>
      <c r="I6" s="14">
        <f t="shared" si="2"/>
        <v>0.10117438293664041</v>
      </c>
      <c r="K6" s="2" t="s">
        <v>9</v>
      </c>
    </row>
    <row r="7" spans="1:14" x14ac:dyDescent="0.25">
      <c r="A7" s="9"/>
      <c r="B7" s="5" t="s">
        <v>13</v>
      </c>
      <c r="C7" s="11">
        <v>1.48</v>
      </c>
      <c r="D7" s="11">
        <v>0.12</v>
      </c>
      <c r="E7" s="5">
        <v>0.2</v>
      </c>
      <c r="F7" s="16">
        <f>(C7-MIN(C$2:C$61))/((MAX(C$2:C$61)-MIN(C$2:C$61)))</f>
        <v>4.0997608472839045E-3</v>
      </c>
      <c r="G7" s="16">
        <f t="shared" si="0"/>
        <v>0.14416775884665792</v>
      </c>
      <c r="H7" s="8">
        <f t="shared" si="1"/>
        <v>0.11303273625694873</v>
      </c>
      <c r="I7" s="16">
        <f t="shared" si="2"/>
        <v>0.111479945492895</v>
      </c>
      <c r="K7" s="4" t="s">
        <v>8</v>
      </c>
      <c r="L7" s="3" t="s">
        <v>10</v>
      </c>
    </row>
    <row r="8" spans="1:14" x14ac:dyDescent="0.25">
      <c r="A8" s="9"/>
      <c r="B8" s="5" t="s">
        <v>14</v>
      </c>
      <c r="C8" s="11">
        <v>1.36</v>
      </c>
      <c r="D8" s="11">
        <v>0.10199999999999999</v>
      </c>
      <c r="E8" s="5">
        <v>8.5999999999999993E-2</v>
      </c>
      <c r="F8" s="16">
        <f>(C8-MIN(C$2:C$61))/((MAX(C$2:C$61)-MIN(C$2:C$61)))</f>
        <v>0</v>
      </c>
      <c r="G8" s="16">
        <f t="shared" si="0"/>
        <v>0.12057667103538663</v>
      </c>
      <c r="H8" s="8">
        <f t="shared" si="1"/>
        <v>4.2618900555898696E-2</v>
      </c>
      <c r="I8" s="16">
        <f t="shared" si="2"/>
        <v>6.174434164415521E-2</v>
      </c>
      <c r="K8" s="5" t="s">
        <v>12</v>
      </c>
      <c r="L8" s="6">
        <f>(I2+I6+I10+I14+I18+I22+I26+I30+I34+I38+I42+I46+I50+I54+I58)/15</f>
        <v>0.20667936270474288</v>
      </c>
    </row>
    <row r="9" spans="1:14" x14ac:dyDescent="0.25">
      <c r="A9" s="17"/>
      <c r="B9" s="4" t="s">
        <v>15</v>
      </c>
      <c r="C9" s="3">
        <v>5.66</v>
      </c>
      <c r="D9" s="3">
        <v>0.21</v>
      </c>
      <c r="E9" s="4">
        <v>0.22900000000000001</v>
      </c>
      <c r="F9" s="18">
        <f>(C9-MIN(C$2:C$61))/((MAX(C$2:C$61)-MIN(C$2:C$61)))</f>
        <v>0.14690809702767338</v>
      </c>
      <c r="G9" s="18">
        <f t="shared" si="0"/>
        <v>0.26212319790301442</v>
      </c>
      <c r="H9" s="19">
        <f t="shared" si="1"/>
        <v>0.13094502779493516</v>
      </c>
      <c r="I9" s="18">
        <f t="shared" si="2"/>
        <v>0.17189478575063277</v>
      </c>
      <c r="K9" s="5" t="s">
        <v>13</v>
      </c>
      <c r="L9" s="6">
        <f>(I3+I7+I11+I15+I19+I23+I27+I31+I35+I39+I43+I47+I51+I55+I59)/15</f>
        <v>0.2023491864891073</v>
      </c>
      <c r="M9" s="1" t="s">
        <v>11</v>
      </c>
    </row>
    <row r="10" spans="1:14" x14ac:dyDescent="0.25">
      <c r="A10" s="10" t="s">
        <v>20</v>
      </c>
      <c r="B10" s="13" t="s">
        <v>12</v>
      </c>
      <c r="C10" s="12">
        <v>2.75</v>
      </c>
      <c r="D10" s="12">
        <v>0.183</v>
      </c>
      <c r="E10" s="13">
        <v>0.58599999999999997</v>
      </c>
      <c r="F10" s="14">
        <f>(C10-MIN(C$2:C$61))/((MAX(C$2:C$61)-MIN(C$2:C$61)))</f>
        <v>4.7488896481038601E-2</v>
      </c>
      <c r="G10" s="14">
        <f t="shared" si="0"/>
        <v>0.22673656618610746</v>
      </c>
      <c r="H10" s="15">
        <f t="shared" si="1"/>
        <v>0.35145151327980234</v>
      </c>
      <c r="I10" s="14">
        <f t="shared" si="2"/>
        <v>0.28364076747181749</v>
      </c>
      <c r="K10" s="5" t="s">
        <v>14</v>
      </c>
      <c r="L10" s="6">
        <f>(I4+I8+I12+I16+I20+I24+I28+I32+I36+I40+I44+I48+I52+I56+I60)/15</f>
        <v>0.21228209894975389</v>
      </c>
    </row>
    <row r="11" spans="1:14" x14ac:dyDescent="0.25">
      <c r="A11" s="9"/>
      <c r="B11" s="5" t="s">
        <v>13</v>
      </c>
      <c r="C11" s="11">
        <v>1.57</v>
      </c>
      <c r="D11" s="11">
        <v>0.12</v>
      </c>
      <c r="E11" s="5">
        <v>0.35699999999999998</v>
      </c>
      <c r="F11" s="16">
        <f>(C11-MIN(C$2:C$61))/((MAX(C$2:C$61)-MIN(C$2:C$61)))</f>
        <v>7.1745814827468384E-3</v>
      </c>
      <c r="G11" s="16">
        <f t="shared" si="0"/>
        <v>0.14416775884665792</v>
      </c>
      <c r="H11" s="8">
        <f t="shared" si="1"/>
        <v>0.21000617665225446</v>
      </c>
      <c r="I11" s="16">
        <f t="shared" si="2"/>
        <v>0.16997149179362472</v>
      </c>
      <c r="K11" s="5" t="s">
        <v>15</v>
      </c>
      <c r="L11" s="6">
        <f>(I5+I9+I13+I17+I21+I25+I29+I33+I37+I41+I45+I49+I53+I57+I61)/15</f>
        <v>0.27977710134091677</v>
      </c>
    </row>
    <row r="12" spans="1:14" x14ac:dyDescent="0.25">
      <c r="A12" s="9"/>
      <c r="B12" s="5" t="s">
        <v>14</v>
      </c>
      <c r="C12" s="11">
        <v>2.64</v>
      </c>
      <c r="D12" s="11">
        <v>0.20699999999999999</v>
      </c>
      <c r="E12" s="5">
        <v>0.38600000000000001</v>
      </c>
      <c r="F12" s="16">
        <f>(C12-MIN(C$2:C$61))/((MAX(C$2:C$61)-MIN(C$2:C$61)))</f>
        <v>4.3730782371028357E-2</v>
      </c>
      <c r="G12" s="16">
        <f t="shared" si="0"/>
        <v>0.25819134993446918</v>
      </c>
      <c r="H12" s="8">
        <f t="shared" si="1"/>
        <v>0.22791846819024089</v>
      </c>
      <c r="I12" s="16">
        <f t="shared" si="2"/>
        <v>0.21858156413158814</v>
      </c>
    </row>
    <row r="13" spans="1:14" x14ac:dyDescent="0.25">
      <c r="A13" s="17"/>
      <c r="B13" s="4" t="s">
        <v>15</v>
      </c>
      <c r="C13" s="3">
        <v>7.09</v>
      </c>
      <c r="D13" s="3">
        <v>0.39200000000000002</v>
      </c>
      <c r="E13" s="4">
        <v>0.54300000000000004</v>
      </c>
      <c r="F13" s="18">
        <f>(C13-MIN(C$2:C$61))/((MAX(C$2:C$61)-MIN(C$2:C$61)))</f>
        <v>0.19576358045780662</v>
      </c>
      <c r="G13" s="18">
        <f t="shared" si="0"/>
        <v>0.50065530799475755</v>
      </c>
      <c r="H13" s="19">
        <f t="shared" si="1"/>
        <v>0.32489190858554667</v>
      </c>
      <c r="I13" s="18">
        <f t="shared" si="2"/>
        <v>0.36470809559553596</v>
      </c>
    </row>
    <row r="14" spans="1:14" x14ac:dyDescent="0.25">
      <c r="A14" s="10" t="s">
        <v>21</v>
      </c>
      <c r="B14" s="13" t="s">
        <v>12</v>
      </c>
      <c r="C14" s="12">
        <v>3.6</v>
      </c>
      <c r="D14" s="12">
        <v>3.5999999999999997E-2</v>
      </c>
      <c r="E14" s="13">
        <v>8.5000000000000006E-2</v>
      </c>
      <c r="F14" s="14">
        <f>(C14-MIN(C$2:C$61))/((MAX(C$2:C$61)-MIN(C$2:C$61)))</f>
        <v>7.6528869149299628E-2</v>
      </c>
      <c r="G14" s="14">
        <f t="shared" si="0"/>
        <v>3.407601572739187E-2</v>
      </c>
      <c r="H14" s="15">
        <f t="shared" si="1"/>
        <v>4.2001235330450901E-2</v>
      </c>
      <c r="I14" s="14">
        <f t="shared" si="2"/>
        <v>4.3076432831418064E-2</v>
      </c>
      <c r="K14" t="s">
        <v>16</v>
      </c>
    </row>
    <row r="15" spans="1:14" x14ac:dyDescent="0.25">
      <c r="A15" s="9"/>
      <c r="B15" s="5" t="s">
        <v>13</v>
      </c>
      <c r="C15" s="11">
        <v>1.91</v>
      </c>
      <c r="D15" s="11">
        <v>2.1999999999999999E-2</v>
      </c>
      <c r="E15" s="5">
        <v>0.14699999999999999</v>
      </c>
      <c r="F15" s="16">
        <f>(C15-MIN(C$2:C$61))/((MAX(C$2:C$61)-MIN(C$2:C$61)))</f>
        <v>1.879057055005124E-2</v>
      </c>
      <c r="G15" s="16">
        <f t="shared" si="0"/>
        <v>1.5727391874180863E-2</v>
      </c>
      <c r="H15" s="8">
        <f t="shared" si="1"/>
        <v>8.0296479308214944E-2</v>
      </c>
      <c r="I15" s="16">
        <f t="shared" si="2"/>
        <v>5.4775162202188345E-2</v>
      </c>
      <c r="K15" s="4" t="s">
        <v>8</v>
      </c>
      <c r="L15" s="3" t="s">
        <v>0</v>
      </c>
      <c r="M15" s="3" t="s">
        <v>1</v>
      </c>
      <c r="N15" s="3" t="s">
        <v>2</v>
      </c>
    </row>
    <row r="16" spans="1:14" x14ac:dyDescent="0.25">
      <c r="A16" s="9"/>
      <c r="B16" s="5" t="s">
        <v>14</v>
      </c>
      <c r="C16" s="11">
        <v>2.69</v>
      </c>
      <c r="D16" s="11">
        <v>1.2E-2</v>
      </c>
      <c r="E16" s="5">
        <v>2.3E-2</v>
      </c>
      <c r="F16" s="16">
        <f>(C16-MIN(C$2:C$61))/((MAX(C$2:C$61)-MIN(C$2:C$61)))</f>
        <v>4.5439016057396649E-2</v>
      </c>
      <c r="G16" s="16">
        <f t="shared" si="0"/>
        <v>2.6212319790301442E-3</v>
      </c>
      <c r="H16" s="8">
        <f t="shared" si="1"/>
        <v>3.7059913526868429E-3</v>
      </c>
      <c r="I16" s="16">
        <f t="shared" si="2"/>
        <v>7.5538660110608148E-3</v>
      </c>
      <c r="K16" s="5" t="s">
        <v>12</v>
      </c>
      <c r="L16" s="7" cm="1">
        <f t="array" ref="L16">AVERAGE(IF(MOD(ROW(C$2:C$61),4)=2,C$2:C$61))</f>
        <v>3.7566666666666668</v>
      </c>
      <c r="M16" s="7" cm="1">
        <f t="array" ref="M16">AVERAGE(IF(MOD(ROW(D$2:D$61),4)=2,D$2:D$61))</f>
        <v>0.1762</v>
      </c>
      <c r="N16" s="7" cm="1">
        <f t="array" ref="N16">AVERAGE(IF(MOD(ROW(E$2:E$61),4)=2,E$2:E$61))</f>
        <v>0.37626666666666658</v>
      </c>
    </row>
    <row r="17" spans="1:14" x14ac:dyDescent="0.25">
      <c r="A17" s="17"/>
      <c r="B17" s="4" t="s">
        <v>15</v>
      </c>
      <c r="C17" s="3">
        <v>5.22</v>
      </c>
      <c r="D17" s="3">
        <v>1.2999999999999999E-2</v>
      </c>
      <c r="E17" s="4">
        <v>1.7000000000000001E-2</v>
      </c>
      <c r="F17" s="18">
        <f>(C17-MIN(C$2:C$61))/((MAX(C$2:C$61)-MIN(C$2:C$61)))</f>
        <v>0.13187564058763238</v>
      </c>
      <c r="G17" s="18">
        <f t="shared" si="0"/>
        <v>3.931847968545215E-3</v>
      </c>
      <c r="H17" s="19">
        <f t="shared" si="1"/>
        <v>0</v>
      </c>
      <c r="I17" s="18">
        <f t="shared" si="2"/>
        <v>1.4367118449326803E-2</v>
      </c>
      <c r="K17" s="5" t="s">
        <v>13</v>
      </c>
      <c r="L17" s="7" cm="1">
        <f t="array" ref="L17">AVERAGE(IF(MOD(ROW(C$2:C$61),4)=3,C$2:C$61))</f>
        <v>2.1453333333333333</v>
      </c>
      <c r="M17" s="7" cm="1">
        <f t="array" ref="M17">AVERAGE(IF(MOD(ROW(D$2:D$61),4)=3,D$2:D$61))</f>
        <v>0.16586666666666666</v>
      </c>
      <c r="N17" s="7" cm="1">
        <f t="array" ref="N17">AVERAGE(IF(MOD(ROW(E$2:E$61),4)=3,E$2:E$61))</f>
        <v>0.39039999999999997</v>
      </c>
    </row>
    <row r="18" spans="1:14" x14ac:dyDescent="0.25">
      <c r="A18" s="10" t="s">
        <v>22</v>
      </c>
      <c r="B18" s="13" t="s">
        <v>12</v>
      </c>
      <c r="C18" s="12">
        <v>3.49</v>
      </c>
      <c r="D18" s="12">
        <v>5.8999999999999997E-2</v>
      </c>
      <c r="E18" s="13">
        <v>0.13</v>
      </c>
      <c r="F18" s="14">
        <f>(C18-MIN(C$2:C$61))/((MAX(C$2:C$61)-MIN(C$2:C$61)))</f>
        <v>7.277075503928937E-2</v>
      </c>
      <c r="G18" s="14">
        <f t="shared" si="0"/>
        <v>6.4220183486238522E-2</v>
      </c>
      <c r="H18" s="15">
        <f t="shared" si="1"/>
        <v>6.9796170475602229E-2</v>
      </c>
      <c r="I18" s="14">
        <f t="shared" si="2"/>
        <v>6.8420832835161829E-2</v>
      </c>
      <c r="K18" s="5" t="s">
        <v>14</v>
      </c>
      <c r="L18" s="7" cm="1">
        <f t="array" ref="L18">AVERAGE(IF(MOD(ROW(C$2:C$61),4)=0,C$2:C$61))</f>
        <v>2.7239999999999993</v>
      </c>
      <c r="M18" s="7" cm="1">
        <f t="array" ref="M18">AVERAGE(IF(MOD(ROW(D$2:D$61),4)=0,D$2:D$61))</f>
        <v>0.23479999999999998</v>
      </c>
      <c r="N18" s="7" cm="1">
        <f t="array" ref="N18">AVERAGE(IF(MOD(ROW(E$2:E$61),4)=0,E$2:E$61))</f>
        <v>0.33873333333333344</v>
      </c>
    </row>
    <row r="19" spans="1:14" x14ac:dyDescent="0.25">
      <c r="A19" s="9"/>
      <c r="B19" s="5" t="s">
        <v>13</v>
      </c>
      <c r="C19" s="11">
        <v>1.81</v>
      </c>
      <c r="D19" s="11">
        <v>2.9000000000000001E-2</v>
      </c>
      <c r="E19" s="5">
        <v>0.107</v>
      </c>
      <c r="F19" s="16">
        <f>(C19-MIN(C$2:C$61))/((MAX(C$2:C$61)-MIN(C$2:C$61)))</f>
        <v>1.5374103177314656E-2</v>
      </c>
      <c r="G19" s="16">
        <f t="shared" si="0"/>
        <v>2.4901703800786372E-2</v>
      </c>
      <c r="H19" s="8">
        <f t="shared" si="1"/>
        <v>5.5589870290302656E-2</v>
      </c>
      <c r="I19" s="16">
        <f t="shared" si="2"/>
        <v>4.2361843632148968E-2</v>
      </c>
      <c r="K19" s="5" t="s">
        <v>15</v>
      </c>
      <c r="L19" s="7" cm="1">
        <f t="array" ref="L19">AVERAGE(IF(MOD(ROW(C$2:C$61),4)=1,C$2:C$61))</f>
        <v>11.497333333333332</v>
      </c>
      <c r="M19" s="7" cm="1">
        <f t="array" ref="M19">AVERAGE(IF(MOD(ROW(D$2:D$61),4)=1,D$2:D$61))</f>
        <v>0.23553333333333334</v>
      </c>
      <c r="N19" s="7" cm="1">
        <f t="array" ref="N19">AVERAGE(IF(MOD(ROW(E$2:E$61),4)=1,E$2:E$61))</f>
        <v>0.43919999999999998</v>
      </c>
    </row>
    <row r="20" spans="1:14" x14ac:dyDescent="0.25">
      <c r="A20" s="9"/>
      <c r="B20" s="5" t="s">
        <v>14</v>
      </c>
      <c r="C20" s="11">
        <v>1.88</v>
      </c>
      <c r="D20" s="11">
        <v>0.01</v>
      </c>
      <c r="E20" s="5">
        <v>1.7000000000000001E-2</v>
      </c>
      <c r="F20" s="16">
        <f>(C20-MIN(C$2:C$61))/((MAX(C$2:C$61)-MIN(C$2:C$61)))</f>
        <v>1.7765630338230264E-2</v>
      </c>
      <c r="G20" s="16">
        <f t="shared" si="0"/>
        <v>0</v>
      </c>
      <c r="H20" s="8">
        <f t="shared" si="1"/>
        <v>0</v>
      </c>
      <c r="I20" s="16">
        <f t="shared" si="2"/>
        <v>1.7765630338230265E-3</v>
      </c>
    </row>
    <row r="21" spans="1:14" x14ac:dyDescent="0.25">
      <c r="A21" s="17"/>
      <c r="B21" s="4" t="s">
        <v>15</v>
      </c>
      <c r="C21" s="3">
        <v>4.8099999999999996</v>
      </c>
      <c r="D21" s="3">
        <v>1.4999999999999999E-2</v>
      </c>
      <c r="E21" s="4">
        <v>2.8000000000000001E-2</v>
      </c>
      <c r="F21" s="18">
        <f>(C21-MIN(C$2:C$61))/((MAX(C$2:C$61)-MIN(C$2:C$61)))</f>
        <v>0.11786812435941235</v>
      </c>
      <c r="G21" s="18">
        <f t="shared" si="0"/>
        <v>6.5530799475753592E-3</v>
      </c>
      <c r="H21" s="19">
        <f t="shared" si="1"/>
        <v>6.7943174799258797E-3</v>
      </c>
      <c r="I21" s="18">
        <f t="shared" si="2"/>
        <v>1.7829326908169369E-2</v>
      </c>
    </row>
    <row r="22" spans="1:14" x14ac:dyDescent="0.25">
      <c r="A22" s="10" t="s">
        <v>23</v>
      </c>
      <c r="B22" s="13" t="s">
        <v>12</v>
      </c>
      <c r="C22" s="12">
        <v>3.66</v>
      </c>
      <c r="D22" s="12">
        <v>0.16700000000000001</v>
      </c>
      <c r="E22" s="13">
        <v>0.52</v>
      </c>
      <c r="F22" s="14">
        <f>(C22-MIN(C$2:C$61))/((MAX(C$2:C$61)-MIN(C$2:C$61)))</f>
        <v>7.8578749572941572E-2</v>
      </c>
      <c r="G22" s="14">
        <f t="shared" si="0"/>
        <v>0.20576671035386632</v>
      </c>
      <c r="H22" s="15">
        <f t="shared" si="1"/>
        <v>0.31068560840024706</v>
      </c>
      <c r="I22" s="14">
        <f t="shared" si="2"/>
        <v>0.25599925310360228</v>
      </c>
    </row>
    <row r="23" spans="1:14" x14ac:dyDescent="0.25">
      <c r="A23" s="9"/>
      <c r="B23" s="5" t="s">
        <v>13</v>
      </c>
      <c r="C23" s="11">
        <v>1.78</v>
      </c>
      <c r="D23" s="11">
        <v>8.5000000000000006E-2</v>
      </c>
      <c r="E23" s="5">
        <v>0.48599999999999999</v>
      </c>
      <c r="F23" s="16">
        <f>(C23-MIN(C$2:C$61))/((MAX(C$2:C$61)-MIN(C$2:C$61)))</f>
        <v>1.4349162965493677E-2</v>
      </c>
      <c r="G23" s="16">
        <f t="shared" si="0"/>
        <v>9.829619921363042E-2</v>
      </c>
      <c r="H23" s="8">
        <f t="shared" si="1"/>
        <v>0.28968499073502157</v>
      </c>
      <c r="I23" s="16">
        <f t="shared" si="2"/>
        <v>0.20473477050165143</v>
      </c>
    </row>
    <row r="24" spans="1:14" x14ac:dyDescent="0.25">
      <c r="A24" s="9"/>
      <c r="B24" s="5" t="s">
        <v>14</v>
      </c>
      <c r="C24" s="11">
        <v>3.82</v>
      </c>
      <c r="D24" s="11">
        <v>8.5999999999999993E-2</v>
      </c>
      <c r="E24" s="5">
        <v>0.13600000000000001</v>
      </c>
      <c r="F24" s="16">
        <f>(C24-MIN(C$2:C$61))/((MAX(C$2:C$61)-MIN(C$2:C$61)))</f>
        <v>8.4045097369320129E-2</v>
      </c>
      <c r="G24" s="16">
        <f t="shared" si="0"/>
        <v>9.9606815203145474E-2</v>
      </c>
      <c r="H24" s="8">
        <f t="shared" si="1"/>
        <v>7.3502161828289073E-2</v>
      </c>
      <c r="I24" s="16">
        <f t="shared" si="2"/>
        <v>8.2387851394849096E-2</v>
      </c>
    </row>
    <row r="25" spans="1:14" x14ac:dyDescent="0.25">
      <c r="A25" s="17"/>
      <c r="B25" s="4" t="s">
        <v>15</v>
      </c>
      <c r="C25" s="3">
        <v>5.37</v>
      </c>
      <c r="D25" s="3">
        <v>1.7999999999999999E-2</v>
      </c>
      <c r="E25" s="4">
        <v>4.4999999999999998E-2</v>
      </c>
      <c r="F25" s="18">
        <f>(C25-MIN(C$2:C$61))/((MAX(C$2:C$61)-MIN(C$2:C$61)))</f>
        <v>0.13700034164673727</v>
      </c>
      <c r="G25" s="18">
        <f t="shared" si="0"/>
        <v>1.0484927916120575E-2</v>
      </c>
      <c r="H25" s="19">
        <f t="shared" si="1"/>
        <v>1.7294626312538603E-2</v>
      </c>
      <c r="I25" s="18">
        <f t="shared" si="2"/>
        <v>2.7222288327033058E-2</v>
      </c>
    </row>
    <row r="26" spans="1:14" x14ac:dyDescent="0.25">
      <c r="A26" s="10" t="s">
        <v>24</v>
      </c>
      <c r="B26" s="13" t="s">
        <v>12</v>
      </c>
      <c r="C26" s="12">
        <v>5.73</v>
      </c>
      <c r="D26" s="12">
        <v>0.28199999999999997</v>
      </c>
      <c r="E26" s="13">
        <v>0.39200000000000002</v>
      </c>
      <c r="F26" s="14">
        <f>(C26-MIN(C$2:C$61))/((MAX(C$2:C$61)-MIN(C$2:C$61)))</f>
        <v>0.149299624188589</v>
      </c>
      <c r="G26" s="14">
        <f t="shared" si="0"/>
        <v>0.35648754914809955</v>
      </c>
      <c r="H26" s="15">
        <f t="shared" si="1"/>
        <v>0.23162445954292774</v>
      </c>
      <c r="I26" s="14">
        <f t="shared" si="2"/>
        <v>0.26085090288904539</v>
      </c>
    </row>
    <row r="27" spans="1:14" x14ac:dyDescent="0.25">
      <c r="A27" s="9"/>
      <c r="B27" s="5" t="s">
        <v>13</v>
      </c>
      <c r="C27" s="11">
        <v>3.22</v>
      </c>
      <c r="D27" s="11">
        <v>0.29599999999999999</v>
      </c>
      <c r="E27" s="5">
        <v>0.54100000000000004</v>
      </c>
      <c r="F27" s="16">
        <f>(C27-MIN(C$2:C$61))/((MAX(C$2:C$61)-MIN(C$2:C$61)))</f>
        <v>6.3546293132900583E-2</v>
      </c>
      <c r="G27" s="16">
        <f t="shared" si="0"/>
        <v>0.37483617300131056</v>
      </c>
      <c r="H27" s="8">
        <f t="shared" si="1"/>
        <v>0.32365657813465104</v>
      </c>
      <c r="I27" s="16">
        <f t="shared" si="2"/>
        <v>0.31299942809447384</v>
      </c>
    </row>
    <row r="28" spans="1:14" x14ac:dyDescent="0.25">
      <c r="A28" s="9"/>
      <c r="B28" s="5" t="s">
        <v>14</v>
      </c>
      <c r="C28" s="11">
        <v>3.83</v>
      </c>
      <c r="D28" s="11">
        <v>0.27</v>
      </c>
      <c r="E28" s="5">
        <v>0.35699999999999998</v>
      </c>
      <c r="F28" s="16">
        <f>(C28-MIN(C$2:C$61))/((MAX(C$2:C$61)-MIN(C$2:C$61)))</f>
        <v>8.4386744106593775E-2</v>
      </c>
      <c r="G28" s="16">
        <f t="shared" si="0"/>
        <v>0.34076015727391873</v>
      </c>
      <c r="H28" s="8">
        <f t="shared" si="1"/>
        <v>0.21000617665225446</v>
      </c>
      <c r="I28" s="16">
        <f t="shared" si="2"/>
        <v>0.23667042758418766</v>
      </c>
    </row>
    <row r="29" spans="1:14" x14ac:dyDescent="0.25">
      <c r="A29" s="17"/>
      <c r="B29" s="4" t="s">
        <v>15</v>
      </c>
      <c r="C29" s="3">
        <v>26.71</v>
      </c>
      <c r="D29" s="3">
        <v>0.27700000000000002</v>
      </c>
      <c r="E29" s="4">
        <v>0.371</v>
      </c>
      <c r="F29" s="18">
        <f>(C29-MIN(C$2:C$61))/((MAX(C$2:C$61)-MIN(C$2:C$61)))</f>
        <v>0.86607447898872569</v>
      </c>
      <c r="G29" s="18">
        <f t="shared" si="0"/>
        <v>0.34993446920052423</v>
      </c>
      <c r="H29" s="19">
        <f t="shared" si="1"/>
        <v>0.21865348980852378</v>
      </c>
      <c r="I29" s="18">
        <f t="shared" si="2"/>
        <v>0.32277988254414414</v>
      </c>
    </row>
    <row r="30" spans="1:14" x14ac:dyDescent="0.25">
      <c r="A30" s="10" t="s">
        <v>25</v>
      </c>
      <c r="B30" s="13" t="s">
        <v>12</v>
      </c>
      <c r="C30" s="12">
        <v>5.58</v>
      </c>
      <c r="D30" s="12">
        <v>0.27</v>
      </c>
      <c r="E30" s="13">
        <v>0.35699999999999998</v>
      </c>
      <c r="F30" s="14">
        <f>(C30-MIN(C$2:C$61))/((MAX(C$2:C$61)-MIN(C$2:C$61)))</f>
        <v>0.1441749231294841</v>
      </c>
      <c r="G30" s="14">
        <f t="shared" si="0"/>
        <v>0.34076015727391873</v>
      </c>
      <c r="H30" s="15">
        <f t="shared" si="1"/>
        <v>0.21000617665225446</v>
      </c>
      <c r="I30" s="14">
        <f t="shared" si="2"/>
        <v>0.24264924548647668</v>
      </c>
    </row>
    <row r="31" spans="1:14" x14ac:dyDescent="0.25">
      <c r="A31" s="9"/>
      <c r="B31" s="5" t="s">
        <v>13</v>
      </c>
      <c r="C31" s="11">
        <v>2.97</v>
      </c>
      <c r="D31" s="11">
        <v>0.35499999999999998</v>
      </c>
      <c r="E31" s="5">
        <v>0.502</v>
      </c>
      <c r="F31" s="16">
        <f>(C31-MIN(C$2:C$61))/((MAX(C$2:C$61)-MIN(C$2:C$61)))</f>
        <v>5.5005124701059109E-2</v>
      </c>
      <c r="G31" s="16">
        <f t="shared" si="0"/>
        <v>0.45216251638269983</v>
      </c>
      <c r="H31" s="8">
        <f t="shared" si="1"/>
        <v>0.29956763434218653</v>
      </c>
      <c r="I31" s="16">
        <f t="shared" si="2"/>
        <v>0.32088984799022779</v>
      </c>
    </row>
    <row r="32" spans="1:14" x14ac:dyDescent="0.25">
      <c r="A32" s="9"/>
      <c r="B32" s="5" t="s">
        <v>14</v>
      </c>
      <c r="C32" s="11">
        <v>2.94</v>
      </c>
      <c r="D32" s="11">
        <v>0.69699999999999995</v>
      </c>
      <c r="E32" s="5">
        <v>0.83399999999999996</v>
      </c>
      <c r="F32" s="16">
        <f>(C32-MIN(C$2:C$61))/((MAX(C$2:C$61)-MIN(C$2:C$61)))</f>
        <v>5.3980184489238123E-2</v>
      </c>
      <c r="G32" s="16">
        <f t="shared" si="0"/>
        <v>0.90039318479685448</v>
      </c>
      <c r="H32" s="8">
        <f t="shared" si="1"/>
        <v>0.50463248919085857</v>
      </c>
      <c r="I32" s="16">
        <f t="shared" si="2"/>
        <v>0.57829546740249516</v>
      </c>
    </row>
    <row r="33" spans="1:9" x14ac:dyDescent="0.25">
      <c r="A33" s="17"/>
      <c r="B33" s="4" t="s">
        <v>15</v>
      </c>
      <c r="C33" s="3">
        <v>24.72</v>
      </c>
      <c r="D33" s="3">
        <v>0.44700000000000001</v>
      </c>
      <c r="E33" s="4">
        <v>0.55800000000000005</v>
      </c>
      <c r="F33" s="18">
        <f>(C33-MIN(C$2:C$61))/((MAX(C$2:C$61)-MIN(C$2:C$61)))</f>
        <v>0.79808677827126751</v>
      </c>
      <c r="G33" s="18">
        <f t="shared" si="0"/>
        <v>0.57273918741808649</v>
      </c>
      <c r="H33" s="19">
        <f t="shared" si="1"/>
        <v>0.33415688696726376</v>
      </c>
      <c r="I33" s="18">
        <f t="shared" si="2"/>
        <v>0.45212456623291097</v>
      </c>
    </row>
    <row r="34" spans="1:9" x14ac:dyDescent="0.25">
      <c r="A34" s="10" t="s">
        <v>26</v>
      </c>
      <c r="B34" s="13" t="s">
        <v>12</v>
      </c>
      <c r="C34" s="12">
        <v>5.89</v>
      </c>
      <c r="D34" s="12">
        <v>0.51600000000000001</v>
      </c>
      <c r="E34" s="13">
        <v>0.76300000000000001</v>
      </c>
      <c r="F34" s="14">
        <f>(C34-MIN(C$2:C$61))/((MAX(C$2:C$61)-MIN(C$2:C$61)))</f>
        <v>0.15476597198496753</v>
      </c>
      <c r="G34" s="14">
        <f t="shared" ref="G34:G61" si="3">(D34-MIN(D$2:D$61))/((MAX(D$2:D$61)-MIN(D$2:D$61)))</f>
        <v>0.66317169069462645</v>
      </c>
      <c r="H34" s="15">
        <f t="shared" ref="H34:H61" si="4">(E34-MIN(E$2:E$61))/((MAX(E$2:E$61)-MIN(E$2:E$61)))</f>
        <v>0.46077825818406426</v>
      </c>
      <c r="I34" s="14">
        <f t="shared" ref="I34:I65" si="5">$L$2*F34+$M$2*G34+$N$2*H34</f>
        <v>0.49089505931732325</v>
      </c>
    </row>
    <row r="35" spans="1:9" x14ac:dyDescent="0.25">
      <c r="A35" s="9"/>
      <c r="B35" s="5" t="s">
        <v>13</v>
      </c>
      <c r="C35" s="11">
        <v>2.63</v>
      </c>
      <c r="D35" s="11">
        <v>0.47499999999999998</v>
      </c>
      <c r="E35" s="5">
        <v>0.85899999999999999</v>
      </c>
      <c r="F35" s="16">
        <f>(C35-MIN(C$2:C$61))/((MAX(C$2:C$61)-MIN(C$2:C$61)))</f>
        <v>4.338913563375469E-2</v>
      </c>
      <c r="G35" s="16">
        <f t="shared" si="3"/>
        <v>0.60943643512450851</v>
      </c>
      <c r="H35" s="8">
        <f t="shared" si="4"/>
        <v>0.52007411982705376</v>
      </c>
      <c r="I35" s="16">
        <f t="shared" si="5"/>
        <v>0.49921431599696026</v>
      </c>
    </row>
    <row r="36" spans="1:9" x14ac:dyDescent="0.25">
      <c r="A36" s="9"/>
      <c r="B36" s="5" t="s">
        <v>14</v>
      </c>
      <c r="C36" s="11">
        <v>3.41</v>
      </c>
      <c r="D36" s="11">
        <v>0.59399999999999997</v>
      </c>
      <c r="E36" s="5">
        <v>0.79900000000000004</v>
      </c>
      <c r="F36" s="16">
        <f>(C36-MIN(C$2:C$61))/((MAX(C$2:C$61)-MIN(C$2:C$61)))</f>
        <v>7.0037581141100091E-2</v>
      </c>
      <c r="G36" s="16">
        <f t="shared" si="3"/>
        <v>0.76539973787680204</v>
      </c>
      <c r="H36" s="8">
        <f t="shared" si="4"/>
        <v>0.48301420630018532</v>
      </c>
      <c r="I36" s="16">
        <f t="shared" si="5"/>
        <v>0.52643220325726181</v>
      </c>
    </row>
    <row r="37" spans="1:9" x14ac:dyDescent="0.25">
      <c r="A37" s="17"/>
      <c r="B37" s="4" t="s">
        <v>15</v>
      </c>
      <c r="C37" s="3">
        <v>30.63</v>
      </c>
      <c r="D37" s="3">
        <v>0.77300000000000002</v>
      </c>
      <c r="E37" s="20">
        <v>1.6359999999999999</v>
      </c>
      <c r="F37" s="18">
        <f>(C37-MIN(C$2:C$61))/((MAX(C$2:C$61)-MIN(C$2:C$61)))</f>
        <v>1</v>
      </c>
      <c r="G37" s="18">
        <f t="shared" si="3"/>
        <v>1</v>
      </c>
      <c r="H37" s="19">
        <f t="shared" si="4"/>
        <v>1</v>
      </c>
      <c r="I37" s="18">
        <f t="shared" si="5"/>
        <v>1</v>
      </c>
    </row>
    <row r="38" spans="1:9" x14ac:dyDescent="0.25">
      <c r="A38" s="10" t="s">
        <v>27</v>
      </c>
      <c r="B38" s="13" t="s">
        <v>12</v>
      </c>
      <c r="C38" s="12">
        <v>3.11</v>
      </c>
      <c r="D38" s="12">
        <v>4.2999999999999997E-2</v>
      </c>
      <c r="E38" s="13">
        <v>0.15</v>
      </c>
      <c r="F38" s="14">
        <f>(C38-MIN(C$2:C$61))/((MAX(C$2:C$61)-MIN(C$2:C$61)))</f>
        <v>5.9788179022890325E-2</v>
      </c>
      <c r="G38" s="14">
        <f t="shared" si="3"/>
        <v>4.3250327653997368E-2</v>
      </c>
      <c r="H38" s="15">
        <f t="shared" si="4"/>
        <v>8.2149474984558379E-2</v>
      </c>
      <c r="I38" s="14">
        <f t="shared" si="5"/>
        <v>6.8243601189223263E-2</v>
      </c>
    </row>
    <row r="39" spans="1:9" x14ac:dyDescent="0.25">
      <c r="A39" s="9"/>
      <c r="B39" s="5" t="s">
        <v>13</v>
      </c>
      <c r="C39" s="11">
        <v>2.29</v>
      </c>
      <c r="D39" s="11">
        <v>1.9E-2</v>
      </c>
      <c r="E39" s="5">
        <v>0.15</v>
      </c>
      <c r="F39" s="16">
        <f>(C39-MIN(C$2:C$61))/((MAX(C$2:C$61)-MIN(C$2:C$61)))</f>
        <v>3.1773146566450292E-2</v>
      </c>
      <c r="G39" s="16">
        <f t="shared" si="3"/>
        <v>1.1795543905635648E-2</v>
      </c>
      <c r="H39" s="8">
        <f t="shared" si="4"/>
        <v>8.2149474984558379E-2</v>
      </c>
      <c r="I39" s="16">
        <f t="shared" si="5"/>
        <v>5.6005662819070753E-2</v>
      </c>
    </row>
    <row r="40" spans="1:9" x14ac:dyDescent="0.25">
      <c r="A40" s="9"/>
      <c r="B40" s="5" t="s">
        <v>14</v>
      </c>
      <c r="C40" s="11">
        <v>2.0699999999999998</v>
      </c>
      <c r="D40" s="11">
        <v>1.9E-2</v>
      </c>
      <c r="E40" s="5">
        <v>2.4E-2</v>
      </c>
      <c r="F40" s="16">
        <f>(C40-MIN(C$2:C$61))/((MAX(C$2:C$61)-MIN(C$2:C$61)))</f>
        <v>2.4256918346429783E-2</v>
      </c>
      <c r="G40" s="16">
        <f t="shared" si="3"/>
        <v>1.1795543905635648E-2</v>
      </c>
      <c r="H40" s="8">
        <f t="shared" si="4"/>
        <v>4.3236565781346508E-3</v>
      </c>
      <c r="I40" s="16">
        <f t="shared" si="5"/>
        <v>8.5585489532144631E-3</v>
      </c>
    </row>
    <row r="41" spans="1:9" x14ac:dyDescent="0.25">
      <c r="A41" s="17"/>
      <c r="B41" s="4" t="s">
        <v>15</v>
      </c>
      <c r="C41" s="3">
        <v>5.79</v>
      </c>
      <c r="D41" s="3">
        <v>1.2E-2</v>
      </c>
      <c r="E41" s="4">
        <v>3.9E-2</v>
      </c>
      <c r="F41" s="18">
        <f>(C41-MIN(C$2:C$61))/((MAX(C$2:C$61)-MIN(C$2:C$61)))</f>
        <v>0.15134950461223096</v>
      </c>
      <c r="G41" s="18">
        <f t="shared" si="3"/>
        <v>2.6212319790301442E-3</v>
      </c>
      <c r="H41" s="19">
        <f t="shared" si="4"/>
        <v>1.3588634959851759E-2</v>
      </c>
      <c r="I41" s="18">
        <f t="shared" si="5"/>
        <v>2.4074501030843194E-2</v>
      </c>
    </row>
    <row r="42" spans="1:9" x14ac:dyDescent="0.25">
      <c r="A42" s="10" t="s">
        <v>28</v>
      </c>
      <c r="B42" s="13" t="s">
        <v>12</v>
      </c>
      <c r="C42" s="12">
        <v>2.76</v>
      </c>
      <c r="D42" s="12">
        <v>3.9E-2</v>
      </c>
      <c r="E42" s="13">
        <v>0.126</v>
      </c>
      <c r="F42" s="14">
        <f>(C42-MIN(C$2:C$61))/((MAX(C$2:C$61)-MIN(C$2:C$61)))</f>
        <v>4.7830543218312253E-2</v>
      </c>
      <c r="G42" s="14">
        <f t="shared" si="3"/>
        <v>3.8007863695937089E-2</v>
      </c>
      <c r="H42" s="15">
        <f t="shared" si="4"/>
        <v>6.732550957381099E-2</v>
      </c>
      <c r="I42" s="14">
        <f t="shared" si="5"/>
        <v>5.6580719174898944E-2</v>
      </c>
    </row>
    <row r="43" spans="1:9" x14ac:dyDescent="0.25">
      <c r="A43" s="9"/>
      <c r="B43" s="5" t="s">
        <v>13</v>
      </c>
      <c r="C43" s="11">
        <v>2.27</v>
      </c>
      <c r="D43" s="11">
        <v>1.2999999999999999E-2</v>
      </c>
      <c r="E43" s="5">
        <v>6.3E-2</v>
      </c>
      <c r="F43" s="16">
        <f>(C43-MIN(C$2:C$61))/((MAX(C$2:C$61)-MIN(C$2:C$61)))</f>
        <v>3.1089853091902969E-2</v>
      </c>
      <c r="G43" s="16">
        <f t="shared" si="3"/>
        <v>3.931847968545215E-3</v>
      </c>
      <c r="H43" s="8">
        <f t="shared" si="4"/>
        <v>2.8412600370599134E-2</v>
      </c>
      <c r="I43" s="16">
        <f t="shared" si="5"/>
        <v>2.1336099922113341E-2</v>
      </c>
    </row>
    <row r="44" spans="1:9" x14ac:dyDescent="0.25">
      <c r="A44" s="9"/>
      <c r="B44" s="5" t="s">
        <v>14</v>
      </c>
      <c r="C44" s="11">
        <v>1.47</v>
      </c>
      <c r="D44" s="11">
        <v>1.9E-2</v>
      </c>
      <c r="E44" s="5">
        <v>2.4E-2</v>
      </c>
      <c r="F44" s="16">
        <f>(C44-MIN(C$2:C$61))/((MAX(C$2:C$61)-MIN(C$2:C$61)))</f>
        <v>3.7581141100102452E-3</v>
      </c>
      <c r="G44" s="16">
        <f t="shared" si="3"/>
        <v>1.1795543905635648E-2</v>
      </c>
      <c r="H44" s="8">
        <f t="shared" si="4"/>
        <v>4.3236565781346508E-3</v>
      </c>
      <c r="I44" s="16">
        <f t="shared" si="5"/>
        <v>6.5086685295725095E-3</v>
      </c>
    </row>
    <row r="45" spans="1:9" x14ac:dyDescent="0.25">
      <c r="A45" s="17"/>
      <c r="B45" s="4" t="s">
        <v>15</v>
      </c>
      <c r="C45" s="3">
        <v>5.6</v>
      </c>
      <c r="D45" s="3">
        <v>0.11899999999999999</v>
      </c>
      <c r="E45" s="4">
        <v>0.19700000000000001</v>
      </c>
      <c r="F45" s="18">
        <f>(C45-MIN(C$2:C$61))/((MAX(C$2:C$61)-MIN(C$2:C$61)))</f>
        <v>0.14485821660403142</v>
      </c>
      <c r="G45" s="18">
        <f t="shared" si="3"/>
        <v>0.14285714285714285</v>
      </c>
      <c r="H45" s="19">
        <f t="shared" si="4"/>
        <v>0.11117974058060531</v>
      </c>
      <c r="I45" s="18">
        <f t="shared" si="5"/>
        <v>0.12405080886590919</v>
      </c>
    </row>
    <row r="46" spans="1:9" x14ac:dyDescent="0.25">
      <c r="A46" s="10" t="s">
        <v>29</v>
      </c>
      <c r="B46" s="13" t="s">
        <v>12</v>
      </c>
      <c r="C46" s="12">
        <v>3.18</v>
      </c>
      <c r="D46" s="12">
        <v>0.23100000000000001</v>
      </c>
      <c r="E46" s="13">
        <v>0.622</v>
      </c>
      <c r="F46" s="14">
        <f>(C46-MIN(C$2:C$61))/((MAX(C$2:C$61)-MIN(C$2:C$61)))</f>
        <v>6.2179706183805951E-2</v>
      </c>
      <c r="G46" s="14">
        <f t="shared" si="3"/>
        <v>0.28964613368283093</v>
      </c>
      <c r="H46" s="15">
        <f t="shared" si="4"/>
        <v>0.3736874613959234</v>
      </c>
      <c r="I46" s="14">
        <f t="shared" si="5"/>
        <v>0.3173242875607839</v>
      </c>
    </row>
    <row r="47" spans="1:9" x14ac:dyDescent="0.25">
      <c r="A47" s="9"/>
      <c r="B47" s="5" t="s">
        <v>13</v>
      </c>
      <c r="C47" s="11">
        <v>2.12</v>
      </c>
      <c r="D47" s="11">
        <v>4.4999999999999998E-2</v>
      </c>
      <c r="E47" s="5">
        <v>0.252</v>
      </c>
      <c r="F47" s="16">
        <f>(C47-MIN(C$2:C$61))/((MAX(C$2:C$61)-MIN(C$2:C$61)))</f>
        <v>2.5965152032798089E-2</v>
      </c>
      <c r="G47" s="16">
        <f t="shared" si="3"/>
        <v>4.5871559633027519E-2</v>
      </c>
      <c r="H47" s="8">
        <f t="shared" si="4"/>
        <v>0.1451513279802347</v>
      </c>
      <c r="I47" s="16">
        <f t="shared" si="5"/>
        <v>0.10344877988132888</v>
      </c>
    </row>
    <row r="48" spans="1:9" x14ac:dyDescent="0.25">
      <c r="A48" s="9"/>
      <c r="B48" s="5" t="s">
        <v>14</v>
      </c>
      <c r="C48" s="11">
        <v>2.75</v>
      </c>
      <c r="D48" s="11">
        <v>0.16200000000000001</v>
      </c>
      <c r="E48" s="5">
        <v>0.23599999999999999</v>
      </c>
      <c r="F48" s="16">
        <f>(C48-MIN(C$2:C$61))/((MAX(C$2:C$61)-MIN(C$2:C$61)))</f>
        <v>4.7488896481038601E-2</v>
      </c>
      <c r="G48" s="16">
        <f t="shared" si="3"/>
        <v>0.19921363040629095</v>
      </c>
      <c r="H48" s="8">
        <f t="shared" si="4"/>
        <v>0.13526868437306977</v>
      </c>
      <c r="I48" s="16">
        <f t="shared" si="5"/>
        <v>0.145674189393833</v>
      </c>
    </row>
    <row r="49" spans="1:9" x14ac:dyDescent="0.25">
      <c r="A49" s="17"/>
      <c r="B49" s="4" t="s">
        <v>15</v>
      </c>
      <c r="C49" s="3">
        <v>6.17</v>
      </c>
      <c r="D49" s="3">
        <v>0.20899999999999999</v>
      </c>
      <c r="E49" s="4">
        <v>0.34599999999999997</v>
      </c>
      <c r="F49" s="18">
        <f>(C49-MIN(C$2:C$61))/((MAX(C$2:C$61)-MIN(C$2:C$61)))</f>
        <v>0.16433208062862997</v>
      </c>
      <c r="G49" s="18">
        <f t="shared" si="3"/>
        <v>0.26081258191349932</v>
      </c>
      <c r="H49" s="19">
        <f t="shared" si="4"/>
        <v>0.20321185917232856</v>
      </c>
      <c r="I49" s="18">
        <f t="shared" si="5"/>
        <v>0.21660409814030993</v>
      </c>
    </row>
    <row r="50" spans="1:9" x14ac:dyDescent="0.25">
      <c r="A50" s="10" t="s">
        <v>30</v>
      </c>
      <c r="B50" s="13" t="s">
        <v>12</v>
      </c>
      <c r="C50" s="12">
        <v>3.88</v>
      </c>
      <c r="D50" s="12">
        <v>0.14699999999999999</v>
      </c>
      <c r="E50" s="13">
        <v>0.36299999999999999</v>
      </c>
      <c r="F50" s="14">
        <f>(C50-MIN(C$2:C$61))/((MAX(C$2:C$61)-MIN(C$2:C$61)))</f>
        <v>8.609497779296206E-2</v>
      </c>
      <c r="G50" s="14">
        <f t="shared" si="3"/>
        <v>0.17955439056356484</v>
      </c>
      <c r="H50" s="15">
        <f t="shared" si="4"/>
        <v>0.21371216800494131</v>
      </c>
      <c r="I50" s="14">
        <f t="shared" si="5"/>
        <v>0.19070311575133042</v>
      </c>
    </row>
    <row r="51" spans="1:9" x14ac:dyDescent="0.25">
      <c r="A51" s="9"/>
      <c r="B51" s="5" t="s">
        <v>13</v>
      </c>
      <c r="C51" s="11">
        <v>2.35</v>
      </c>
      <c r="D51" s="11">
        <v>0.217</v>
      </c>
      <c r="E51" s="5">
        <v>0.59299999999999997</v>
      </c>
      <c r="F51" s="16">
        <f>(C51-MIN(C$2:C$61))/((MAX(C$2:C$61)-MIN(C$2:C$61)))</f>
        <v>3.3823026990092243E-2</v>
      </c>
      <c r="G51" s="16">
        <f t="shared" si="3"/>
        <v>0.27129750982961992</v>
      </c>
      <c r="H51" s="8">
        <f t="shared" si="4"/>
        <v>0.35577516985793695</v>
      </c>
      <c r="I51" s="16">
        <f t="shared" si="5"/>
        <v>0.29823665756265738</v>
      </c>
    </row>
    <row r="52" spans="1:9" x14ac:dyDescent="0.25">
      <c r="A52" s="9"/>
      <c r="B52" s="5" t="s">
        <v>14</v>
      </c>
      <c r="C52" s="11">
        <v>3.91</v>
      </c>
      <c r="D52" s="11">
        <v>0.372</v>
      </c>
      <c r="E52" s="5">
        <v>0.6</v>
      </c>
      <c r="F52" s="16">
        <f>(C52-MIN(C$2:C$61))/((MAX(C$2:C$61)-MIN(C$2:C$61)))</f>
        <v>8.7119918004783053E-2</v>
      </c>
      <c r="G52" s="16">
        <f t="shared" si="3"/>
        <v>0.47444298820445607</v>
      </c>
      <c r="H52" s="8">
        <f t="shared" si="4"/>
        <v>0.36009882643607161</v>
      </c>
      <c r="I52" s="16">
        <f t="shared" si="5"/>
        <v>0.36710418412345808</v>
      </c>
    </row>
    <row r="53" spans="1:9" x14ac:dyDescent="0.25">
      <c r="A53" s="17"/>
      <c r="B53" s="4" t="s">
        <v>15</v>
      </c>
      <c r="C53" s="3">
        <v>12.61</v>
      </c>
      <c r="D53" s="3">
        <v>0.223</v>
      </c>
      <c r="E53" s="4">
        <v>0.496</v>
      </c>
      <c r="F53" s="18">
        <f>(C53-MIN(C$2:C$61))/((MAX(C$2:C$61)-MIN(C$2:C$61)))</f>
        <v>0.38435257943286644</v>
      </c>
      <c r="G53" s="18">
        <f t="shared" si="3"/>
        <v>0.27916120576671033</v>
      </c>
      <c r="H53" s="19">
        <f t="shared" si="4"/>
        <v>0.29586164298949968</v>
      </c>
      <c r="I53" s="18">
        <f t="shared" si="5"/>
        <v>0.29970060546699956</v>
      </c>
    </row>
    <row r="54" spans="1:9" x14ac:dyDescent="0.25">
      <c r="A54" s="10" t="s">
        <v>31</v>
      </c>
      <c r="B54" s="13" t="s">
        <v>12</v>
      </c>
      <c r="C54" s="12">
        <v>3.65</v>
      </c>
      <c r="D54" s="12">
        <v>0.154</v>
      </c>
      <c r="E54" s="13">
        <v>0.43</v>
      </c>
      <c r="F54" s="14">
        <f>(C54-MIN(C$2:C$61))/((MAX(C$2:C$61)-MIN(C$2:C$61)))</f>
        <v>7.8237102835667927E-2</v>
      </c>
      <c r="G54" s="14">
        <f t="shared" si="3"/>
        <v>0.18872870249017037</v>
      </c>
      <c r="H54" s="15">
        <f t="shared" si="4"/>
        <v>0.2550957381099444</v>
      </c>
      <c r="I54" s="14">
        <f t="shared" si="5"/>
        <v>0.21749976389658454</v>
      </c>
    </row>
    <row r="55" spans="1:9" x14ac:dyDescent="0.25">
      <c r="A55" s="9"/>
      <c r="B55" s="5" t="s">
        <v>13</v>
      </c>
      <c r="C55" s="11">
        <v>2.14</v>
      </c>
      <c r="D55" s="11">
        <v>0.318</v>
      </c>
      <c r="E55" s="5">
        <v>0.58499999999999996</v>
      </c>
      <c r="F55" s="16">
        <f>(C55-MIN(C$2:C$61))/((MAX(C$2:C$61)-MIN(C$2:C$61)))</f>
        <v>2.6648445507345405E-2</v>
      </c>
      <c r="G55" s="16">
        <f t="shared" si="3"/>
        <v>0.40366972477064217</v>
      </c>
      <c r="H55" s="8">
        <f t="shared" si="4"/>
        <v>0.35083384805435452</v>
      </c>
      <c r="I55" s="16">
        <f t="shared" si="5"/>
        <v>0.33426607081453985</v>
      </c>
    </row>
    <row r="56" spans="1:9" x14ac:dyDescent="0.25">
      <c r="A56" s="9"/>
      <c r="B56" s="5" t="s">
        <v>14</v>
      </c>
      <c r="C56" s="11">
        <v>2.36</v>
      </c>
      <c r="D56" s="11">
        <v>0.18099999999999999</v>
      </c>
      <c r="E56" s="5">
        <v>0.45200000000000001</v>
      </c>
      <c r="F56" s="16">
        <f>(C56-MIN(C$2:C$61))/((MAX(C$2:C$61)-MIN(C$2:C$61)))</f>
        <v>3.4164673727365896E-2</v>
      </c>
      <c r="G56" s="16">
        <f t="shared" si="3"/>
        <v>0.2241153342070773</v>
      </c>
      <c r="H56" s="8">
        <f t="shared" si="4"/>
        <v>0.26868437306979615</v>
      </c>
      <c r="I56" s="16">
        <f t="shared" si="5"/>
        <v>0.23186169147673746</v>
      </c>
    </row>
    <row r="57" spans="1:9" x14ac:dyDescent="0.25">
      <c r="A57" s="17"/>
      <c r="B57" s="4" t="s">
        <v>15</v>
      </c>
      <c r="C57" s="3">
        <v>14.28</v>
      </c>
      <c r="D57" s="3">
        <v>0.436</v>
      </c>
      <c r="E57" s="20">
        <v>1.2589999999999999</v>
      </c>
      <c r="F57" s="18">
        <f>(C57-MIN(C$2:C$61))/((MAX(C$2:C$61)-MIN(C$2:C$61)))</f>
        <v>0.44140758455756746</v>
      </c>
      <c r="G57" s="18">
        <f t="shared" si="3"/>
        <v>0.55832241153342066</v>
      </c>
      <c r="H57" s="19">
        <f t="shared" si="4"/>
        <v>0.7671402100061766</v>
      </c>
      <c r="I57" s="18">
        <f t="shared" si="5"/>
        <v>0.67192160791948885</v>
      </c>
    </row>
    <row r="58" spans="1:9" x14ac:dyDescent="0.25">
      <c r="A58" s="9" t="s">
        <v>32</v>
      </c>
      <c r="B58" s="5" t="s">
        <v>12</v>
      </c>
      <c r="C58">
        <v>3.75</v>
      </c>
      <c r="D58">
        <v>0.28999999999999998</v>
      </c>
      <c r="E58" s="5">
        <v>0.76300000000000001</v>
      </c>
      <c r="F58" s="7">
        <f>(C58-MIN(C$2:C$61))/((MAX(C$2:C$61)-MIN(C$2:C$61)))</f>
        <v>8.1653570208404497E-2</v>
      </c>
      <c r="G58" s="7">
        <f t="shared" si="3"/>
        <v>0.36697247706422015</v>
      </c>
      <c r="H58" s="8">
        <f t="shared" si="4"/>
        <v>0.46077825818406426</v>
      </c>
      <c r="I58" s="7">
        <f t="shared" si="5"/>
        <v>0.39472405505054503</v>
      </c>
    </row>
    <row r="59" spans="1:9" x14ac:dyDescent="0.25">
      <c r="A59" s="9"/>
      <c r="B59" s="5" t="s">
        <v>13</v>
      </c>
      <c r="C59">
        <v>2.08</v>
      </c>
      <c r="D59">
        <v>0.27700000000000002</v>
      </c>
      <c r="E59" s="5">
        <v>0.8</v>
      </c>
      <c r="F59" s="7">
        <f>(C59-MIN(C$2:C$61))/((MAX(C$2:C$61)-MIN(C$2:C$61)))</f>
        <v>2.459856508370345E-2</v>
      </c>
      <c r="G59" s="7">
        <f t="shared" si="3"/>
        <v>0.34993446920052423</v>
      </c>
      <c r="H59" s="8">
        <f t="shared" si="4"/>
        <v>0.48363187152563314</v>
      </c>
      <c r="I59" s="7">
        <f t="shared" si="5"/>
        <v>0.3976193201839075</v>
      </c>
    </row>
    <row r="60" spans="1:9" x14ac:dyDescent="0.25">
      <c r="A60" s="9"/>
      <c r="B60" s="5" t="s">
        <v>14</v>
      </c>
      <c r="C60">
        <v>3.9</v>
      </c>
      <c r="D60">
        <v>0.436</v>
      </c>
      <c r="E60" s="5">
        <v>0.77800000000000002</v>
      </c>
      <c r="F60" s="7">
        <f>(C60-MIN(C$2:C$61))/((MAX(C$2:C$61)-MIN(C$2:C$61)))</f>
        <v>8.6778271267509394E-2</v>
      </c>
      <c r="G60" s="7">
        <f t="shared" si="3"/>
        <v>0.55832241153342066</v>
      </c>
      <c r="H60" s="8">
        <f t="shared" si="4"/>
        <v>0.47004323656578134</v>
      </c>
      <c r="I60" s="7">
        <f t="shared" si="5"/>
        <v>0.45820049252624595</v>
      </c>
    </row>
    <row r="61" spans="1:9" x14ac:dyDescent="0.25">
      <c r="A61" s="9"/>
      <c r="B61" s="5" t="s">
        <v>15</v>
      </c>
      <c r="C61">
        <v>11.91</v>
      </c>
      <c r="D61">
        <v>0.23599999999999999</v>
      </c>
      <c r="E61" s="5">
        <v>0.68100000000000005</v>
      </c>
      <c r="F61" s="7">
        <f>(C61-MIN(C$2:C$61))/((MAX(C$2:C$61)-MIN(C$2:C$61)))</f>
        <v>0.36043730782371031</v>
      </c>
      <c r="G61" s="7">
        <f t="shared" si="3"/>
        <v>0.29619921363040624</v>
      </c>
      <c r="H61" s="8">
        <f t="shared" si="4"/>
        <v>0.41012970969734408</v>
      </c>
      <c r="I61" s="7">
        <f t="shared" si="5"/>
        <v>0.37098132068989931</v>
      </c>
    </row>
  </sheetData>
  <mergeCells count="15">
    <mergeCell ref="A22:A25"/>
    <mergeCell ref="A2:A5"/>
    <mergeCell ref="A6:A9"/>
    <mergeCell ref="A10:A13"/>
    <mergeCell ref="A14:A17"/>
    <mergeCell ref="A18:A21"/>
    <mergeCell ref="A50:A53"/>
    <mergeCell ref="A54:A57"/>
    <mergeCell ref="A58:A61"/>
    <mergeCell ref="A26:A29"/>
    <mergeCell ref="A30:A33"/>
    <mergeCell ref="A34:A37"/>
    <mergeCell ref="A38:A41"/>
    <mergeCell ref="A42:A45"/>
    <mergeCell ref="A46:A49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C368C-BE33-41DA-A13F-0BB66BC0F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8360526277612314</dc:creator>
  <cp:lastModifiedBy>TU-Pseudonym 8360526277612314</cp:lastModifiedBy>
  <dcterms:created xsi:type="dcterms:W3CDTF">2025-05-16T13:55:34Z</dcterms:created>
  <dcterms:modified xsi:type="dcterms:W3CDTF">2025-07-24T13:52:37Z</dcterms:modified>
</cp:coreProperties>
</file>